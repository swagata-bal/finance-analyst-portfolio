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17c923f09061903/Documents/"/>
    </mc:Choice>
  </mc:AlternateContent>
  <xr:revisionPtr revIDLastSave="424" documentId="8_{B90F0DC1-B861-4B57-9858-1961C4C24B15}" xr6:coauthVersionLast="47" xr6:coauthVersionMax="47" xr10:uidLastSave="{EF0A0374-C22B-4944-88F4-5AE665C61A64}"/>
  <bookViews>
    <workbookView xWindow="-110" yWindow="-110" windowWidth="19420" windowHeight="11020" xr2:uid="{6FE6222D-ED89-4E3B-B123-5B2C4EECD6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1" i="1" l="1"/>
  <c r="N20" i="1"/>
  <c r="N130" i="1"/>
  <c r="N129" i="1"/>
  <c r="N127" i="1"/>
  <c r="N125" i="1"/>
  <c r="N124" i="1"/>
  <c r="I111" i="1"/>
  <c r="J108" i="1"/>
  <c r="K108" i="1" s="1"/>
  <c r="J102" i="1"/>
  <c r="I105" i="1" s="1"/>
  <c r="J69" i="1"/>
  <c r="K69" i="1" s="1"/>
  <c r="L69" i="1" s="1"/>
  <c r="M69" i="1" s="1"/>
  <c r="N69" i="1" s="1"/>
  <c r="I82" i="1"/>
  <c r="I78" i="1"/>
  <c r="I79" i="1" s="1"/>
  <c r="J79" i="1" s="1"/>
  <c r="L33" i="1"/>
  <c r="L30" i="1"/>
  <c r="D31" i="1"/>
  <c r="D32" i="1"/>
  <c r="D30" i="1"/>
  <c r="D33" i="1" s="1"/>
  <c r="I57" i="1"/>
  <c r="I75" i="1" s="1"/>
  <c r="I51" i="1"/>
  <c r="I45" i="1"/>
  <c r="J43" i="1"/>
  <c r="K43" i="1" s="1"/>
  <c r="L43" i="1" s="1"/>
  <c r="M43" i="1" s="1"/>
  <c r="N43" i="1" s="1"/>
  <c r="I42" i="1"/>
  <c r="I83" i="1" s="1"/>
  <c r="J83" i="1" s="1"/>
  <c r="K83" i="1" l="1"/>
  <c r="K79" i="1"/>
  <c r="K109" i="1"/>
  <c r="L108" i="1"/>
  <c r="M108" i="1" s="1"/>
  <c r="I99" i="1"/>
  <c r="J103" i="1"/>
  <c r="J109" i="1"/>
  <c r="J42" i="1"/>
  <c r="I46" i="1"/>
  <c r="J46" i="1" s="1"/>
  <c r="K46" i="1" s="1"/>
  <c r="I52" i="1"/>
  <c r="J52" i="1" s="1"/>
  <c r="I58" i="1"/>
  <c r="K42" i="1"/>
  <c r="I48" i="1"/>
  <c r="L79" i="1" l="1"/>
  <c r="K78" i="1"/>
  <c r="L109" i="1"/>
  <c r="L83" i="1"/>
  <c r="K82" i="1"/>
  <c r="K88" i="1" s="1"/>
  <c r="J82" i="1"/>
  <c r="J88" i="1" s="1"/>
  <c r="J58" i="1"/>
  <c r="J57" i="1" s="1"/>
  <c r="J75" i="1" s="1"/>
  <c r="J87" i="1" s="1"/>
  <c r="I76" i="1"/>
  <c r="J96" i="1"/>
  <c r="I117" i="1"/>
  <c r="M109" i="1"/>
  <c r="N108" i="1"/>
  <c r="N109" i="1" s="1"/>
  <c r="J78" i="1"/>
  <c r="J80" i="1" s="1"/>
  <c r="J89" i="1" s="1"/>
  <c r="J51" i="1"/>
  <c r="K52" i="1"/>
  <c r="L52" i="1" s="1"/>
  <c r="J45" i="1"/>
  <c r="J48" i="1" s="1"/>
  <c r="J54" i="1" s="1"/>
  <c r="I54" i="1"/>
  <c r="I49" i="1"/>
  <c r="L42" i="1"/>
  <c r="K45" i="1"/>
  <c r="K48" i="1" s="1"/>
  <c r="L46" i="1"/>
  <c r="J114" i="1" l="1"/>
  <c r="J97" i="1"/>
  <c r="J115" i="1" s="1"/>
  <c r="J63" i="1" s="1"/>
  <c r="J65" i="1" s="1"/>
  <c r="K58" i="1"/>
  <c r="J76" i="1"/>
  <c r="M83" i="1"/>
  <c r="L82" i="1"/>
  <c r="L88" i="1" s="1"/>
  <c r="K80" i="1"/>
  <c r="K89" i="1" s="1"/>
  <c r="L78" i="1"/>
  <c r="L80" i="1" s="1"/>
  <c r="L89" i="1" s="1"/>
  <c r="M79" i="1"/>
  <c r="J49" i="1"/>
  <c r="K51" i="1"/>
  <c r="K54" i="1" s="1"/>
  <c r="K49" i="1"/>
  <c r="M52" i="1"/>
  <c r="L51" i="1"/>
  <c r="M42" i="1"/>
  <c r="L48" i="1"/>
  <c r="I55" i="1"/>
  <c r="I60" i="1"/>
  <c r="J55" i="1"/>
  <c r="J60" i="1"/>
  <c r="J61" i="1" s="1"/>
  <c r="M46" i="1"/>
  <c r="L45" i="1"/>
  <c r="J68" i="1" l="1"/>
  <c r="J71" i="1" s="1"/>
  <c r="J66" i="1"/>
  <c r="N79" i="1"/>
  <c r="M78" i="1"/>
  <c r="M80" i="1" s="1"/>
  <c r="M89" i="1" s="1"/>
  <c r="N83" i="1"/>
  <c r="M82" i="1"/>
  <c r="M88" i="1" s="1"/>
  <c r="K76" i="1"/>
  <c r="L58" i="1"/>
  <c r="K57" i="1"/>
  <c r="K75" i="1" s="1"/>
  <c r="K87" i="1" s="1"/>
  <c r="L49" i="1"/>
  <c r="L54" i="1"/>
  <c r="H14" i="1"/>
  <c r="I61" i="1"/>
  <c r="N42" i="1"/>
  <c r="N52" i="1"/>
  <c r="N51" i="1" s="1"/>
  <c r="M51" i="1"/>
  <c r="K55" i="1"/>
  <c r="K60" i="1"/>
  <c r="K61" i="1" s="1"/>
  <c r="M45" i="1"/>
  <c r="M48" i="1" s="1"/>
  <c r="N46" i="1"/>
  <c r="L76" i="1" l="1"/>
  <c r="L57" i="1"/>
  <c r="L75" i="1" s="1"/>
  <c r="L87" i="1" s="1"/>
  <c r="M58" i="1"/>
  <c r="N82" i="1"/>
  <c r="N88" i="1" s="1"/>
  <c r="M33" i="1"/>
  <c r="M30" i="1"/>
  <c r="N78" i="1"/>
  <c r="N80" i="1" s="1"/>
  <c r="N89" i="1" s="1"/>
  <c r="J86" i="1"/>
  <c r="J90" i="1" s="1"/>
  <c r="J72" i="1"/>
  <c r="H16" i="1"/>
  <c r="H18" i="1" s="1"/>
  <c r="L31" i="1" s="1"/>
  <c r="E32" i="1"/>
  <c r="E31" i="1"/>
  <c r="E30" i="1"/>
  <c r="M49" i="1"/>
  <c r="M54" i="1"/>
  <c r="L55" i="1"/>
  <c r="L60" i="1"/>
  <c r="L61" i="1" s="1"/>
  <c r="N45" i="1"/>
  <c r="N48" i="1" s="1"/>
  <c r="M76" i="1" l="1"/>
  <c r="M57" i="1"/>
  <c r="M75" i="1" s="1"/>
  <c r="M87" i="1" s="1"/>
  <c r="N58" i="1"/>
  <c r="J98" i="1"/>
  <c r="J104" i="1"/>
  <c r="J105" i="1" s="1"/>
  <c r="K102" i="1" s="1"/>
  <c r="K103" i="1" s="1"/>
  <c r="M31" i="1"/>
  <c r="M37" i="1" s="1"/>
  <c r="E37" i="1" s="1"/>
  <c r="L37" i="1"/>
  <c r="E33" i="1"/>
  <c r="N49" i="1"/>
  <c r="N54" i="1"/>
  <c r="M60" i="1"/>
  <c r="M61" i="1" s="1"/>
  <c r="M55" i="1"/>
  <c r="N30" i="1" l="1"/>
  <c r="D37" i="1"/>
  <c r="N33" i="1"/>
  <c r="N31" i="1"/>
  <c r="J99" i="1"/>
  <c r="K96" i="1" s="1"/>
  <c r="J110" i="1"/>
  <c r="J111" i="1" s="1"/>
  <c r="N76" i="1"/>
  <c r="N57" i="1"/>
  <c r="N75" i="1" s="1"/>
  <c r="N87" i="1" s="1"/>
  <c r="N55" i="1"/>
  <c r="J116" i="1" l="1"/>
  <c r="J117" i="1" s="1"/>
  <c r="K114" i="1"/>
  <c r="K97" i="1"/>
  <c r="K115" i="1" s="1"/>
  <c r="K63" i="1" s="1"/>
  <c r="K65" i="1" s="1"/>
  <c r="N60" i="1"/>
  <c r="F31" i="1"/>
  <c r="F32" i="1"/>
  <c r="D35" i="1"/>
  <c r="F33" i="1"/>
  <c r="F30" i="1"/>
  <c r="N37" i="1"/>
  <c r="F37" i="1" s="1"/>
  <c r="E35" i="1" l="1"/>
  <c r="F35" i="1"/>
  <c r="N61" i="1"/>
  <c r="N121" i="1"/>
  <c r="K68" i="1"/>
  <c r="K71" i="1" s="1"/>
  <c r="K66" i="1"/>
  <c r="K72" i="1" l="1"/>
  <c r="K86" i="1"/>
  <c r="K90" i="1" s="1"/>
  <c r="K98" i="1" l="1"/>
  <c r="K104" i="1"/>
  <c r="K105" i="1" s="1"/>
  <c r="L102" i="1" s="1"/>
  <c r="L103" i="1" s="1"/>
  <c r="K110" i="1"/>
  <c r="K111" i="1" s="1"/>
  <c r="K116" i="1" l="1"/>
  <c r="K117" i="1" s="1"/>
  <c r="K99" i="1"/>
  <c r="L96" i="1" s="1"/>
  <c r="L97" i="1" l="1"/>
  <c r="L115" i="1" s="1"/>
  <c r="L63" i="1" s="1"/>
  <c r="L65" i="1" s="1"/>
  <c r="L114" i="1"/>
  <c r="L66" i="1" l="1"/>
  <c r="L68" i="1"/>
  <c r="L71" i="1" s="1"/>
  <c r="L72" i="1" l="1"/>
  <c r="L86" i="1"/>
  <c r="L90" i="1" s="1"/>
  <c r="L98" i="1" l="1"/>
  <c r="L104" i="1" s="1"/>
  <c r="L105" i="1" s="1"/>
  <c r="M102" i="1" s="1"/>
  <c r="M103" i="1" s="1"/>
  <c r="L110" i="1" l="1"/>
  <c r="L111" i="1" s="1"/>
  <c r="L116" i="1"/>
  <c r="L117" i="1" s="1"/>
  <c r="L99" i="1"/>
  <c r="M96" i="1" s="1"/>
  <c r="M114" i="1" l="1"/>
  <c r="M97" i="1"/>
  <c r="M115" i="1" s="1"/>
  <c r="M63" i="1" s="1"/>
  <c r="M65" i="1" s="1"/>
  <c r="M68" i="1" l="1"/>
  <c r="M71" i="1" s="1"/>
  <c r="M66" i="1"/>
  <c r="M72" i="1" l="1"/>
  <c r="M86" i="1"/>
  <c r="M90" i="1" s="1"/>
  <c r="M98" i="1" l="1"/>
  <c r="M104" i="1"/>
  <c r="M105" i="1" s="1"/>
  <c r="N102" i="1" s="1"/>
  <c r="N103" i="1" s="1"/>
  <c r="M110" i="1"/>
  <c r="M111" i="1" s="1"/>
  <c r="M116" i="1" l="1"/>
  <c r="M117" i="1" s="1"/>
  <c r="M99" i="1"/>
  <c r="N96" i="1" s="1"/>
  <c r="N97" i="1" l="1"/>
  <c r="N115" i="1" s="1"/>
  <c r="N63" i="1" s="1"/>
  <c r="N65" i="1" s="1"/>
  <c r="N114" i="1"/>
  <c r="N66" i="1" l="1"/>
  <c r="N68" i="1"/>
  <c r="N71" i="1" s="1"/>
  <c r="N72" i="1" l="1"/>
  <c r="N86" i="1"/>
  <c r="N90" i="1" s="1"/>
  <c r="N98" i="1" l="1"/>
  <c r="N104" i="1"/>
  <c r="N105" i="1" s="1"/>
  <c r="N110" i="1" l="1"/>
  <c r="N111" i="1" s="1"/>
  <c r="N99" i="1"/>
  <c r="N116" i="1" l="1"/>
  <c r="N117" i="1" s="1"/>
  <c r="H23" i="1" l="1"/>
  <c r="N122" i="1" s="1"/>
  <c r="N123" i="1" s="1"/>
</calcChain>
</file>

<file path=xl/sharedStrings.xml><?xml version="1.0" encoding="utf-8"?>
<sst xmlns="http://schemas.openxmlformats.org/spreadsheetml/2006/main" count="146" uniqueCount="80">
  <si>
    <t>LBO</t>
  </si>
  <si>
    <t>You are a private equity firm looking to potentially buyout an insurance company.</t>
  </si>
  <si>
    <t>In the last 12 months, the company has generate $2BN in sales, $900M in COGS, $500M in OpEx, $100M in D&amp;A, $200 in NWC, and $140M in CapEx.</t>
  </si>
  <si>
    <t>For simplicity, your firm assumes it can grow the company revenue at 10% for the next 5 years, assumes a 21% tax rate, and assumes all growth rates and margins will remain flat.</t>
  </si>
  <si>
    <t>Your firm also believes it can enter and exit at a 10.0x EBITDA multiple at the end of year 5. The company has existing net debt of $1BN</t>
  </si>
  <si>
    <t>Fees and expenses are estimated to amount to $100M, and there will be 3 tranches of debt: $200M from a revolver (7.5% interest), $2.5BN from a bank loan (9.5%), and $1.5BN from senior notes (12.5%)</t>
  </si>
  <si>
    <t>Calculate the firm's IRR.</t>
  </si>
  <si>
    <t>Assumptions</t>
  </si>
  <si>
    <t>Financials</t>
  </si>
  <si>
    <t>LTM</t>
  </si>
  <si>
    <t>Revenue</t>
  </si>
  <si>
    <t>COGS</t>
  </si>
  <si>
    <t>OpEx</t>
  </si>
  <si>
    <t>D&amp;A</t>
  </si>
  <si>
    <t>NWC</t>
  </si>
  <si>
    <t>CapEx</t>
  </si>
  <si>
    <t>Operating Assumptions</t>
  </si>
  <si>
    <t>Revenue Growth</t>
  </si>
  <si>
    <t>Tax Rate</t>
  </si>
  <si>
    <t>Entry</t>
  </si>
  <si>
    <t>LTM EBITDA</t>
  </si>
  <si>
    <t>Entry Multiple</t>
  </si>
  <si>
    <t>Enterprise Value</t>
  </si>
  <si>
    <t>Existing Net Debt</t>
  </si>
  <si>
    <t>Equity Value</t>
  </si>
  <si>
    <t>Fees &amp; Expenses</t>
  </si>
  <si>
    <t xml:space="preserve">Exit </t>
  </si>
  <si>
    <t>Exit Multiple</t>
  </si>
  <si>
    <t>Capital Structure</t>
  </si>
  <si>
    <t>Amount</t>
  </si>
  <si>
    <t>Interest</t>
  </si>
  <si>
    <t>Revolver</t>
  </si>
  <si>
    <t>Bank Loan</t>
  </si>
  <si>
    <t>Senior Notes</t>
  </si>
  <si>
    <t>IRR</t>
  </si>
  <si>
    <t>IRR (For Reference)</t>
  </si>
  <si>
    <t>MOIC</t>
  </si>
  <si>
    <t>Sources and Uses</t>
  </si>
  <si>
    <t>Operating Model</t>
  </si>
  <si>
    <t xml:space="preserve">   % growth</t>
  </si>
  <si>
    <t xml:space="preserve">   % of sales</t>
  </si>
  <si>
    <t>Gross Profit</t>
  </si>
  <si>
    <t>EBIT</t>
  </si>
  <si>
    <t>EBITDA</t>
  </si>
  <si>
    <t>EBT</t>
  </si>
  <si>
    <t>Taxes</t>
  </si>
  <si>
    <t xml:space="preserve">   % tax rate</t>
  </si>
  <si>
    <t>Net Income</t>
  </si>
  <si>
    <t>Year 0</t>
  </si>
  <si>
    <t>Year 1</t>
  </si>
  <si>
    <t>Year 2</t>
  </si>
  <si>
    <t>Year 3</t>
  </si>
  <si>
    <t>Year 4</t>
  </si>
  <si>
    <t>Year 5</t>
  </si>
  <si>
    <t>Sources</t>
  </si>
  <si>
    <t>%Capital</t>
  </si>
  <si>
    <t>xEBITDA</t>
  </si>
  <si>
    <t>Total</t>
  </si>
  <si>
    <t>Sponsor Equity</t>
  </si>
  <si>
    <t>Total Sources</t>
  </si>
  <si>
    <t>Uses</t>
  </si>
  <si>
    <t>Debt Refinancing</t>
  </si>
  <si>
    <t>Equity Payment</t>
  </si>
  <si>
    <t>Total Uses</t>
  </si>
  <si>
    <t>Cash Flow Items</t>
  </si>
  <si>
    <t>Net Working Capital</t>
  </si>
  <si>
    <t>Change in Working Capital</t>
  </si>
  <si>
    <t>Leveraged Free Cash Flow</t>
  </si>
  <si>
    <t>Change in NWC</t>
  </si>
  <si>
    <t>Debt Schedule</t>
  </si>
  <si>
    <t>Beginning balance</t>
  </si>
  <si>
    <t>Paydown</t>
  </si>
  <si>
    <t>Ending Balance</t>
  </si>
  <si>
    <t>Bank Debt</t>
  </si>
  <si>
    <t>Total Debt</t>
  </si>
  <si>
    <t>LTM EBITDA at Exit</t>
  </si>
  <si>
    <t>Sponsor Equity Value</t>
  </si>
  <si>
    <t>Sponsor Equity at Entry</t>
  </si>
  <si>
    <t>MOI</t>
  </si>
  <si>
    <t>Net 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</si>
</sst>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;[Red]#,##0"/>
    <numFmt numFmtId="166" formatCode="0.0&quot;x&quot;"/>
  </numFmts>
  <fonts count="18" x14ac:knownFonts="1"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1"/>
      <color theme="4" tint="-0.249977111117893"/>
      <name val="Calibri"/>
      <family val="2"/>
    </font>
    <font>
      <sz val="11"/>
      <color theme="1"/>
      <name val="Calibri"/>
      <family val="2"/>
    </font>
    <font>
      <sz val="11"/>
      <color theme="8" tint="-0.249977111117893"/>
      <name val="Calibri"/>
      <family val="2"/>
    </font>
    <font>
      <i/>
      <sz val="11"/>
      <color rgb="FF000000"/>
      <name val="Calibri"/>
      <family val="2"/>
    </font>
    <font>
      <sz val="8"/>
      <name val="Calibri"/>
      <family val="2"/>
    </font>
    <font>
      <sz val="11"/>
      <color rgb="FF7030A0"/>
      <name val="Calibri"/>
      <family val="2"/>
    </font>
    <font>
      <i/>
      <sz val="11"/>
      <color rgb="FF7030A0"/>
      <name val="Calibri"/>
      <family val="2"/>
    </font>
    <font>
      <sz val="11"/>
      <name val="Calibri"/>
      <family val="2"/>
    </font>
    <font>
      <i/>
      <sz val="11"/>
      <name val="Calibri"/>
      <family val="2"/>
    </font>
    <font>
      <b/>
      <sz val="11"/>
      <color rgb="FF7030A0"/>
      <name val="Calibri"/>
      <family val="2"/>
    </font>
    <font>
      <b/>
      <sz val="11"/>
      <name val="Calibri"/>
      <family val="2"/>
    </font>
    <font>
      <b/>
      <u/>
      <sz val="11"/>
      <color theme="1"/>
      <name val="Calibri"/>
      <family val="2"/>
    </font>
    <font>
      <b/>
      <u/>
      <sz val="11"/>
      <name val="Calibri"/>
      <family val="2"/>
    </font>
    <font>
      <b/>
      <i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0">
    <xf numFmtId="0" fontId="0" fillId="0" borderId="0" xfId="0"/>
    <xf numFmtId="0" fontId="3" fillId="0" borderId="1" xfId="0" applyFont="1" applyBorder="1"/>
    <xf numFmtId="0" fontId="0" fillId="0" borderId="1" xfId="0" applyBorder="1"/>
    <xf numFmtId="164" fontId="0" fillId="0" borderId="0" xfId="0" applyNumberFormat="1"/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166" fontId="0" fillId="0" borderId="0" xfId="0" applyNumberFormat="1" applyAlignment="1">
      <alignment horizontal="right"/>
    </xf>
    <xf numFmtId="165" fontId="4" fillId="2" borderId="2" xfId="0" applyNumberFormat="1" applyFont="1" applyFill="1" applyBorder="1"/>
    <xf numFmtId="0" fontId="4" fillId="2" borderId="2" xfId="0" applyFont="1" applyFill="1" applyBorder="1"/>
    <xf numFmtId="0" fontId="4" fillId="0" borderId="0" xfId="0" applyFont="1"/>
    <xf numFmtId="164" fontId="4" fillId="2" borderId="2" xfId="0" applyNumberFormat="1" applyFont="1" applyFill="1" applyBorder="1"/>
    <xf numFmtId="0" fontId="2" fillId="0" borderId="3" xfId="0" applyFont="1" applyBorder="1"/>
    <xf numFmtId="0" fontId="0" fillId="0" borderId="3" xfId="0" applyBorder="1"/>
    <xf numFmtId="0" fontId="0" fillId="2" borderId="2" xfId="0" applyFill="1" applyBorder="1"/>
    <xf numFmtId="164" fontId="0" fillId="2" borderId="2" xfId="0" applyNumberFormat="1" applyFill="1" applyBorder="1"/>
    <xf numFmtId="0" fontId="0" fillId="0" borderId="0" xfId="0" applyBorder="1"/>
    <xf numFmtId="0" fontId="6" fillId="2" borderId="4" xfId="0" applyFont="1" applyFill="1" applyBorder="1"/>
    <xf numFmtId="166" fontId="4" fillId="2" borderId="4" xfId="0" applyNumberFormat="1" applyFont="1" applyFill="1" applyBorder="1" applyAlignment="1">
      <alignment horizontal="right"/>
    </xf>
    <xf numFmtId="0" fontId="1" fillId="5" borderId="0" xfId="0" applyFont="1" applyFill="1"/>
    <xf numFmtId="0" fontId="0" fillId="5" borderId="0" xfId="0" applyFill="1"/>
    <xf numFmtId="0" fontId="7" fillId="0" borderId="0" xfId="0" applyFont="1"/>
    <xf numFmtId="0" fontId="1" fillId="3" borderId="0" xfId="0" applyFont="1" applyFill="1" applyAlignment="1">
      <alignment horizontal="right"/>
    </xf>
    <xf numFmtId="165" fontId="0" fillId="0" borderId="0" xfId="0" applyNumberFormat="1"/>
    <xf numFmtId="165" fontId="9" fillId="0" borderId="0" xfId="0" applyNumberFormat="1" applyFont="1"/>
    <xf numFmtId="164" fontId="10" fillId="0" borderId="0" xfId="0" applyNumberFormat="1" applyFont="1"/>
    <xf numFmtId="165" fontId="11" fillId="0" borderId="0" xfId="0" applyNumberFormat="1" applyFont="1"/>
    <xf numFmtId="164" fontId="12" fillId="0" borderId="0" xfId="0" applyNumberFormat="1" applyFont="1"/>
    <xf numFmtId="0" fontId="9" fillId="0" borderId="0" xfId="0" applyFont="1"/>
    <xf numFmtId="0" fontId="2" fillId="0" borderId="0" xfId="0" applyFont="1" applyBorder="1"/>
    <xf numFmtId="166" fontId="0" fillId="0" borderId="1" xfId="0" applyNumberFormat="1" applyBorder="1" applyAlignment="1">
      <alignment horizontal="right"/>
    </xf>
    <xf numFmtId="0" fontId="2" fillId="0" borderId="0" xfId="0" applyFont="1" applyFill="1" applyBorder="1"/>
    <xf numFmtId="166" fontId="2" fillId="0" borderId="0" xfId="0" applyNumberFormat="1" applyFont="1"/>
    <xf numFmtId="0" fontId="1" fillId="0" borderId="0" xfId="0" applyFont="1" applyFill="1"/>
    <xf numFmtId="164" fontId="0" fillId="0" borderId="0" xfId="1" applyNumberFormat="1" applyFont="1"/>
    <xf numFmtId="164" fontId="2" fillId="0" borderId="0" xfId="1" applyNumberFormat="1" applyFont="1"/>
    <xf numFmtId="164" fontId="2" fillId="0" borderId="0" xfId="0" applyNumberFormat="1" applyFont="1"/>
    <xf numFmtId="164" fontId="0" fillId="0" borderId="1" xfId="1" applyNumberFormat="1" applyFont="1" applyBorder="1"/>
    <xf numFmtId="0" fontId="2" fillId="6" borderId="5" xfId="0" applyFont="1" applyFill="1" applyBorder="1"/>
    <xf numFmtId="0" fontId="2" fillId="6" borderId="6" xfId="0" applyFont="1" applyFill="1" applyBorder="1"/>
    <xf numFmtId="165" fontId="2" fillId="6" borderId="6" xfId="0" applyNumberFormat="1" applyFont="1" applyFill="1" applyBorder="1"/>
    <xf numFmtId="165" fontId="2" fillId="6" borderId="7" xfId="0" applyNumberFormat="1" applyFont="1" applyFill="1" applyBorder="1"/>
    <xf numFmtId="0" fontId="0" fillId="0" borderId="0" xfId="0" applyAlignment="1">
      <alignment horizontal="left" indent="1"/>
    </xf>
    <xf numFmtId="0" fontId="9" fillId="0" borderId="1" xfId="0" applyFont="1" applyBorder="1"/>
    <xf numFmtId="0" fontId="15" fillId="0" borderId="0" xfId="0" applyFont="1" applyAlignment="1">
      <alignment horizontal="right"/>
    </xf>
    <xf numFmtId="0" fontId="16" fillId="0" borderId="0" xfId="0" applyFont="1" applyFill="1" applyAlignment="1">
      <alignment horizontal="right"/>
    </xf>
    <xf numFmtId="0" fontId="2" fillId="0" borderId="3" xfId="0" applyFont="1" applyBorder="1" applyAlignment="1">
      <alignment horizontal="left" indent="1"/>
    </xf>
    <xf numFmtId="165" fontId="2" fillId="0" borderId="3" xfId="0" applyNumberFormat="1" applyFont="1" applyBorder="1"/>
    <xf numFmtId="0" fontId="13" fillId="0" borderId="3" xfId="0" applyFont="1" applyBorder="1"/>
    <xf numFmtId="165" fontId="0" fillId="2" borderId="0" xfId="0" applyNumberFormat="1" applyFill="1"/>
    <xf numFmtId="166" fontId="9" fillId="0" borderId="0" xfId="0" applyNumberFormat="1" applyFont="1"/>
    <xf numFmtId="0" fontId="0" fillId="0" borderId="0" xfId="0" applyFont="1" applyBorder="1"/>
    <xf numFmtId="0" fontId="2" fillId="6" borderId="8" xfId="0" applyFont="1" applyFill="1" applyBorder="1"/>
    <xf numFmtId="0" fontId="2" fillId="6" borderId="3" xfId="0" applyFont="1" applyFill="1" applyBorder="1"/>
    <xf numFmtId="166" fontId="14" fillId="6" borderId="9" xfId="0" applyNumberFormat="1" applyFont="1" applyFill="1" applyBorder="1"/>
    <xf numFmtId="0" fontId="2" fillId="6" borderId="10" xfId="0" applyFont="1" applyFill="1" applyBorder="1"/>
    <xf numFmtId="0" fontId="2" fillId="6" borderId="1" xfId="0" applyFont="1" applyFill="1" applyBorder="1"/>
    <xf numFmtId="164" fontId="17" fillId="6" borderId="11" xfId="0" applyNumberFormat="1" applyFont="1" applyFill="1" applyBorder="1"/>
    <xf numFmtId="166" fontId="9" fillId="0" borderId="1" xfId="0" applyNumberFormat="1" applyFont="1" applyBorder="1"/>
    <xf numFmtId="164" fontId="9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0F7CE-997A-45F6-8925-121B7F773AA1}">
  <dimension ref="B2:U130"/>
  <sheetViews>
    <sheetView showGridLines="0" tabSelected="1" topLeftCell="A20" workbookViewId="0">
      <selection activeCell="Q34" sqref="Q34"/>
    </sheetView>
  </sheetViews>
  <sheetFormatPr defaultRowHeight="14.5" x14ac:dyDescent="0.35"/>
  <cols>
    <col min="1" max="1" width="1.81640625" customWidth="1"/>
    <col min="6" max="6" width="9.81640625" bestFit="1" customWidth="1"/>
  </cols>
  <sheetData>
    <row r="2" spans="2:21" ht="21" x14ac:dyDescent="0.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4" spans="2:21" x14ac:dyDescent="0.35">
      <c r="B4" t="s">
        <v>1</v>
      </c>
    </row>
    <row r="5" spans="2:21" x14ac:dyDescent="0.35">
      <c r="B5" t="s">
        <v>2</v>
      </c>
    </row>
    <row r="6" spans="2:21" x14ac:dyDescent="0.35">
      <c r="B6" t="s">
        <v>3</v>
      </c>
    </row>
    <row r="7" spans="2:21" x14ac:dyDescent="0.35">
      <c r="B7" t="s">
        <v>4</v>
      </c>
    </row>
    <row r="8" spans="2:21" x14ac:dyDescent="0.35">
      <c r="B8" t="s">
        <v>5</v>
      </c>
    </row>
    <row r="9" spans="2:21" x14ac:dyDescent="0.35">
      <c r="B9" t="s">
        <v>6</v>
      </c>
    </row>
    <row r="11" spans="2:21" x14ac:dyDescent="0.35">
      <c r="B11" s="6" t="s">
        <v>7</v>
      </c>
      <c r="C11" s="6"/>
      <c r="D11" s="6"/>
      <c r="E11" s="6"/>
      <c r="F11" s="6"/>
      <c r="G11" s="6"/>
      <c r="H11" s="6"/>
      <c r="I11" s="19"/>
      <c r="J11" s="6"/>
      <c r="K11" s="6"/>
      <c r="L11" s="6"/>
      <c r="M11" s="6"/>
      <c r="N11" s="6"/>
      <c r="O11" s="33"/>
      <c r="P11" s="33"/>
      <c r="Q11" s="33"/>
      <c r="R11" s="33"/>
      <c r="S11" s="33"/>
      <c r="T11" s="33"/>
    </row>
    <row r="12" spans="2:21" ht="4.5" customHeight="1" x14ac:dyDescent="0.35"/>
    <row r="13" spans="2:21" x14ac:dyDescent="0.35">
      <c r="B13" s="5" t="s">
        <v>8</v>
      </c>
      <c r="C13" s="5"/>
      <c r="D13" s="5"/>
      <c r="F13" s="5" t="s">
        <v>19</v>
      </c>
      <c r="G13" s="5"/>
      <c r="H13" s="5"/>
      <c r="J13" s="5" t="s">
        <v>28</v>
      </c>
      <c r="K13" s="5"/>
      <c r="L13" s="5"/>
      <c r="M13" s="22" t="s">
        <v>29</v>
      </c>
      <c r="N13" s="22" t="s">
        <v>30</v>
      </c>
    </row>
    <row r="14" spans="2:21" x14ac:dyDescent="0.35">
      <c r="B14" s="4" t="s">
        <v>9</v>
      </c>
      <c r="F14" t="s">
        <v>20</v>
      </c>
      <c r="H14" s="24">
        <f>I60</f>
        <v>700</v>
      </c>
      <c r="J14" t="s">
        <v>31</v>
      </c>
      <c r="M14" s="14">
        <v>200</v>
      </c>
      <c r="N14" s="15">
        <v>7.4999999999999997E-2</v>
      </c>
    </row>
    <row r="15" spans="2:21" x14ac:dyDescent="0.35">
      <c r="B15" t="s">
        <v>10</v>
      </c>
      <c r="D15" s="8">
        <v>2000</v>
      </c>
      <c r="F15" t="s">
        <v>21</v>
      </c>
      <c r="H15" s="18">
        <v>10</v>
      </c>
      <c r="J15" t="s">
        <v>32</v>
      </c>
      <c r="M15" s="14">
        <v>2500</v>
      </c>
      <c r="N15" s="15">
        <v>9.5000000000000001E-2</v>
      </c>
    </row>
    <row r="16" spans="2:21" x14ac:dyDescent="0.35">
      <c r="B16" t="s">
        <v>11</v>
      </c>
      <c r="D16" s="9">
        <v>900</v>
      </c>
      <c r="F16" s="12" t="s">
        <v>22</v>
      </c>
      <c r="G16" s="13"/>
      <c r="H16" s="29">
        <f>H14*H15</f>
        <v>7000</v>
      </c>
      <c r="J16" t="s">
        <v>33</v>
      </c>
      <c r="M16" s="14">
        <v>1500</v>
      </c>
      <c r="N16" s="15">
        <v>0.125</v>
      </c>
    </row>
    <row r="17" spans="2:14" x14ac:dyDescent="0.35">
      <c r="B17" t="s">
        <v>12</v>
      </c>
      <c r="D17" s="9">
        <v>500</v>
      </c>
      <c r="F17" t="s">
        <v>23</v>
      </c>
      <c r="H17" s="17">
        <v>1000</v>
      </c>
    </row>
    <row r="18" spans="2:14" x14ac:dyDescent="0.35">
      <c r="B18" t="s">
        <v>13</v>
      </c>
      <c r="D18" s="9">
        <v>100</v>
      </c>
      <c r="F18" s="12" t="s">
        <v>24</v>
      </c>
      <c r="G18" s="13"/>
      <c r="H18" s="16">
        <f>H16-H17</f>
        <v>6000</v>
      </c>
    </row>
    <row r="19" spans="2:14" x14ac:dyDescent="0.35">
      <c r="B19" t="s">
        <v>14</v>
      </c>
      <c r="D19" s="9">
        <v>200</v>
      </c>
      <c r="J19" s="5" t="s">
        <v>35</v>
      </c>
      <c r="K19" s="5"/>
      <c r="L19" s="5"/>
      <c r="M19" s="5"/>
      <c r="N19" s="5"/>
    </row>
    <row r="20" spans="2:14" x14ac:dyDescent="0.35">
      <c r="B20" t="s">
        <v>15</v>
      </c>
      <c r="D20" s="9">
        <v>140</v>
      </c>
      <c r="F20" s="4" t="s">
        <v>25</v>
      </c>
      <c r="H20" s="9">
        <v>100</v>
      </c>
      <c r="J20" t="s">
        <v>36</v>
      </c>
      <c r="N20" s="50">
        <f>N129</f>
        <v>2.8962020874249803</v>
      </c>
    </row>
    <row r="21" spans="2:14" x14ac:dyDescent="0.35">
      <c r="D21" s="10"/>
      <c r="J21" t="s">
        <v>34</v>
      </c>
      <c r="N21" s="59">
        <f>N130</f>
        <v>0.23698881425702134</v>
      </c>
    </row>
    <row r="22" spans="2:14" x14ac:dyDescent="0.35">
      <c r="B22" t="s">
        <v>16</v>
      </c>
      <c r="D22" s="10"/>
      <c r="F22" s="5" t="s">
        <v>26</v>
      </c>
      <c r="G22" s="5"/>
      <c r="H22" s="5"/>
    </row>
    <row r="23" spans="2:14" x14ac:dyDescent="0.35">
      <c r="B23" t="s">
        <v>17</v>
      </c>
      <c r="D23" s="11">
        <v>0.1</v>
      </c>
      <c r="F23" t="s">
        <v>27</v>
      </c>
      <c r="H23" s="7">
        <f>H15</f>
        <v>10</v>
      </c>
    </row>
    <row r="24" spans="2:14" x14ac:dyDescent="0.35">
      <c r="B24" t="s">
        <v>18</v>
      </c>
      <c r="D24" s="11">
        <v>0.21</v>
      </c>
    </row>
    <row r="26" spans="2:14" x14ac:dyDescent="0.35">
      <c r="B26" s="19" t="s">
        <v>37</v>
      </c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</row>
    <row r="27" spans="2:14" ht="6" customHeight="1" x14ac:dyDescent="0.35"/>
    <row r="28" spans="2:14" x14ac:dyDescent="0.35">
      <c r="B28" s="5" t="s">
        <v>54</v>
      </c>
      <c r="C28" s="5"/>
      <c r="D28" s="5"/>
      <c r="E28" s="5"/>
      <c r="F28" s="5"/>
      <c r="I28" s="5" t="s">
        <v>60</v>
      </c>
      <c r="J28" s="5"/>
      <c r="K28" s="5"/>
      <c r="L28" s="5"/>
      <c r="M28" s="5"/>
      <c r="N28" s="5"/>
    </row>
    <row r="29" spans="2:14" x14ac:dyDescent="0.35">
      <c r="D29" s="44" t="s">
        <v>29</v>
      </c>
      <c r="E29" s="44" t="s">
        <v>56</v>
      </c>
      <c r="F29" s="44" t="s">
        <v>55</v>
      </c>
      <c r="L29" s="45" t="s">
        <v>29</v>
      </c>
      <c r="M29" s="45" t="s">
        <v>56</v>
      </c>
      <c r="N29" s="45" t="s">
        <v>55</v>
      </c>
    </row>
    <row r="30" spans="2:14" x14ac:dyDescent="0.35">
      <c r="B30" t="s">
        <v>31</v>
      </c>
      <c r="D30" s="28">
        <f>M14</f>
        <v>200</v>
      </c>
      <c r="E30" s="7">
        <f>D30/$H$14</f>
        <v>0.2857142857142857</v>
      </c>
      <c r="F30" s="34">
        <f>D30/$D$37</f>
        <v>2.8169014084507043E-2</v>
      </c>
      <c r="I30" t="s">
        <v>61</v>
      </c>
      <c r="L30" s="28">
        <f>H17</f>
        <v>1000</v>
      </c>
      <c r="M30" s="7">
        <f>L30/$H$14</f>
        <v>1.4285714285714286</v>
      </c>
      <c r="N30" s="34">
        <f>L30/L37</f>
        <v>0.14084507042253522</v>
      </c>
    </row>
    <row r="31" spans="2:14" x14ac:dyDescent="0.35">
      <c r="B31" t="s">
        <v>32</v>
      </c>
      <c r="D31" s="28">
        <f t="shared" ref="D31:D32" si="0">M15</f>
        <v>2500</v>
      </c>
      <c r="E31" s="7">
        <f t="shared" ref="E31:E32" si="1">D31/$H$14</f>
        <v>3.5714285714285716</v>
      </c>
      <c r="F31" s="34">
        <f t="shared" ref="F31:F35" si="2">D31/$D$37</f>
        <v>0.352112676056338</v>
      </c>
      <c r="I31" t="s">
        <v>62</v>
      </c>
      <c r="L31" s="28">
        <f>H18</f>
        <v>6000</v>
      </c>
      <c r="M31" s="7">
        <f>L31/$H$14</f>
        <v>8.5714285714285712</v>
      </c>
      <c r="N31" s="34">
        <f>L31/L37</f>
        <v>0.84507042253521125</v>
      </c>
    </row>
    <row r="32" spans="2:14" x14ac:dyDescent="0.35">
      <c r="B32" s="2" t="s">
        <v>33</v>
      </c>
      <c r="C32" s="2"/>
      <c r="D32" s="43">
        <f t="shared" si="0"/>
        <v>1500</v>
      </c>
      <c r="E32" s="30">
        <f t="shared" si="1"/>
        <v>2.1428571428571428</v>
      </c>
      <c r="F32" s="37">
        <f t="shared" si="2"/>
        <v>0.21126760563380281</v>
      </c>
      <c r="L32" s="28"/>
      <c r="M32" s="7"/>
      <c r="N32" s="34"/>
    </row>
    <row r="33" spans="2:15" x14ac:dyDescent="0.35">
      <c r="B33" s="31" t="s">
        <v>57</v>
      </c>
      <c r="C33" s="4"/>
      <c r="D33" s="4">
        <f>SUM(D30:D32)</f>
        <v>4200</v>
      </c>
      <c r="E33" s="32">
        <f>SUM(E30:E32)</f>
        <v>6</v>
      </c>
      <c r="F33" s="35">
        <f t="shared" si="2"/>
        <v>0.59154929577464788</v>
      </c>
      <c r="I33" t="s">
        <v>25</v>
      </c>
      <c r="L33" s="28">
        <f>H20</f>
        <v>100</v>
      </c>
      <c r="M33" s="7">
        <f t="shared" ref="M32:M33" si="3">L33/$H$14</f>
        <v>0.14285714285714285</v>
      </c>
      <c r="N33" s="34">
        <f>L33/L37</f>
        <v>1.4084507042253521E-2</v>
      </c>
    </row>
    <row r="34" spans="2:15" x14ac:dyDescent="0.35">
      <c r="F34" s="34"/>
      <c r="N34" s="34"/>
    </row>
    <row r="35" spans="2:15" x14ac:dyDescent="0.35">
      <c r="B35" t="s">
        <v>58</v>
      </c>
      <c r="D35">
        <f>D37-D33</f>
        <v>2900</v>
      </c>
      <c r="E35" s="7">
        <f>D35/H14</f>
        <v>4.1428571428571432</v>
      </c>
      <c r="F35" s="34">
        <f t="shared" si="2"/>
        <v>0.40845070422535212</v>
      </c>
      <c r="N35" s="34"/>
    </row>
    <row r="36" spans="2:15" x14ac:dyDescent="0.35">
      <c r="N36" s="34"/>
    </row>
    <row r="37" spans="2:15" x14ac:dyDescent="0.35">
      <c r="B37" s="4" t="s">
        <v>59</v>
      </c>
      <c r="D37" s="4">
        <f>L37</f>
        <v>7100</v>
      </c>
      <c r="E37" s="32">
        <f>M37</f>
        <v>10.142857142857142</v>
      </c>
      <c r="F37" s="36">
        <f>N37</f>
        <v>1</v>
      </c>
      <c r="I37" s="4" t="s">
        <v>63</v>
      </c>
      <c r="J37" s="4"/>
      <c r="K37" s="4"/>
      <c r="L37" s="4">
        <f>SUM(L30:L31,L33)</f>
        <v>7100</v>
      </c>
      <c r="M37" s="32">
        <f>SUM(M30:M31,M33)</f>
        <v>10.142857142857142</v>
      </c>
      <c r="N37" s="35">
        <f>SUM(N30:N31,N33)</f>
        <v>1</v>
      </c>
    </row>
    <row r="39" spans="2:15" x14ac:dyDescent="0.35">
      <c r="B39" s="19" t="s">
        <v>8</v>
      </c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</row>
    <row r="41" spans="2:15" x14ac:dyDescent="0.35">
      <c r="B41" s="5" t="s">
        <v>38</v>
      </c>
      <c r="C41" s="5"/>
      <c r="D41" s="5"/>
      <c r="E41" s="5"/>
      <c r="F41" s="5"/>
      <c r="G41" s="5"/>
      <c r="H41" s="5"/>
      <c r="I41" s="22" t="s">
        <v>48</v>
      </c>
      <c r="J41" s="22" t="s">
        <v>49</v>
      </c>
      <c r="K41" s="22" t="s">
        <v>50</v>
      </c>
      <c r="L41" s="22" t="s">
        <v>51</v>
      </c>
      <c r="M41" s="22" t="s">
        <v>52</v>
      </c>
      <c r="N41" s="22" t="s">
        <v>53</v>
      </c>
    </row>
    <row r="42" spans="2:15" x14ac:dyDescent="0.35">
      <c r="B42" t="s">
        <v>10</v>
      </c>
      <c r="I42" s="24">
        <f>D15</f>
        <v>2000</v>
      </c>
      <c r="J42" s="26">
        <f>I42*(1+J43)</f>
        <v>2200</v>
      </c>
      <c r="K42" s="26">
        <f t="shared" ref="K42:N42" si="4">J42*(1+K43)</f>
        <v>2420</v>
      </c>
      <c r="L42" s="26">
        <f t="shared" si="4"/>
        <v>2662</v>
      </c>
      <c r="M42" s="26">
        <f t="shared" si="4"/>
        <v>2928.2000000000003</v>
      </c>
      <c r="N42" s="26">
        <f t="shared" si="4"/>
        <v>3221.0200000000004</v>
      </c>
      <c r="O42" s="24"/>
    </row>
    <row r="43" spans="2:15" x14ac:dyDescent="0.35">
      <c r="B43" s="21" t="s">
        <v>39</v>
      </c>
      <c r="J43" s="25">
        <f>D23</f>
        <v>0.1</v>
      </c>
      <c r="K43" s="25">
        <f>J43</f>
        <v>0.1</v>
      </c>
      <c r="L43" s="25">
        <f>K43</f>
        <v>0.1</v>
      </c>
      <c r="M43" s="25">
        <f>L43</f>
        <v>0.1</v>
      </c>
      <c r="N43" s="25">
        <f>M43</f>
        <v>0.1</v>
      </c>
    </row>
    <row r="45" spans="2:15" x14ac:dyDescent="0.35">
      <c r="B45" t="s">
        <v>11</v>
      </c>
      <c r="I45" s="24">
        <f>D16</f>
        <v>900</v>
      </c>
      <c r="J45" s="26">
        <f>J46*J42</f>
        <v>990</v>
      </c>
      <c r="K45" s="26">
        <f t="shared" ref="K45:N45" si="5">K46*K42</f>
        <v>1089</v>
      </c>
      <c r="L45" s="26">
        <f t="shared" si="5"/>
        <v>1197.9000000000001</v>
      </c>
      <c r="M45" s="26">
        <f t="shared" si="5"/>
        <v>1317.69</v>
      </c>
      <c r="N45" s="26">
        <f t="shared" si="5"/>
        <v>1449.4590000000003</v>
      </c>
    </row>
    <row r="46" spans="2:15" x14ac:dyDescent="0.35">
      <c r="B46" s="21" t="s">
        <v>40</v>
      </c>
      <c r="I46" s="25">
        <f>I45/I42</f>
        <v>0.45</v>
      </c>
      <c r="J46" s="25">
        <f>I46</f>
        <v>0.45</v>
      </c>
      <c r="K46" s="25">
        <f>J46</f>
        <v>0.45</v>
      </c>
      <c r="L46" s="25">
        <f>K46</f>
        <v>0.45</v>
      </c>
      <c r="M46" s="25">
        <f>L46</f>
        <v>0.45</v>
      </c>
      <c r="N46" s="25">
        <f>M46</f>
        <v>0.45</v>
      </c>
    </row>
    <row r="48" spans="2:15" x14ac:dyDescent="0.35">
      <c r="B48" t="s">
        <v>41</v>
      </c>
      <c r="I48" s="23">
        <f>I42-I45</f>
        <v>1100</v>
      </c>
      <c r="J48" s="23">
        <f t="shared" ref="J48:N48" si="6">J42-J45</f>
        <v>1210</v>
      </c>
      <c r="K48" s="23">
        <f t="shared" si="6"/>
        <v>1331</v>
      </c>
      <c r="L48" s="23">
        <f t="shared" si="6"/>
        <v>1464.1</v>
      </c>
      <c r="M48" s="23">
        <f t="shared" si="6"/>
        <v>1610.5100000000002</v>
      </c>
      <c r="N48" s="23">
        <f t="shared" si="6"/>
        <v>1771.5610000000001</v>
      </c>
    </row>
    <row r="49" spans="2:14" x14ac:dyDescent="0.35">
      <c r="B49" s="21" t="s">
        <v>40</v>
      </c>
      <c r="I49" s="27">
        <f>I48/I42</f>
        <v>0.55000000000000004</v>
      </c>
      <c r="J49" s="27">
        <f t="shared" ref="J49:N49" si="7">J48/J42</f>
        <v>0.55000000000000004</v>
      </c>
      <c r="K49" s="27">
        <f t="shared" si="7"/>
        <v>0.55000000000000004</v>
      </c>
      <c r="L49" s="27">
        <f t="shared" si="7"/>
        <v>0.54999999999999993</v>
      </c>
      <c r="M49" s="27">
        <f t="shared" si="7"/>
        <v>0.55000000000000004</v>
      </c>
      <c r="N49" s="27">
        <f t="shared" si="7"/>
        <v>0.54999999999999993</v>
      </c>
    </row>
    <row r="51" spans="2:14" x14ac:dyDescent="0.35">
      <c r="B51" t="s">
        <v>12</v>
      </c>
      <c r="I51" s="28">
        <f>D17</f>
        <v>500</v>
      </c>
      <c r="J51" s="26">
        <f>J52*J42</f>
        <v>550</v>
      </c>
      <c r="K51" s="26">
        <f t="shared" ref="K51:N51" si="8">K52*K42</f>
        <v>605</v>
      </c>
      <c r="L51" s="26">
        <f t="shared" si="8"/>
        <v>665.5</v>
      </c>
      <c r="M51" s="26">
        <f t="shared" si="8"/>
        <v>732.05000000000007</v>
      </c>
      <c r="N51" s="26">
        <f t="shared" si="8"/>
        <v>805.25500000000011</v>
      </c>
    </row>
    <row r="52" spans="2:14" x14ac:dyDescent="0.35">
      <c r="B52" s="21" t="s">
        <v>40</v>
      </c>
      <c r="I52" s="27">
        <f>I51/I42</f>
        <v>0.25</v>
      </c>
      <c r="J52" s="25">
        <f>I52</f>
        <v>0.25</v>
      </c>
      <c r="K52" s="25">
        <f t="shared" ref="K52:N52" si="9">J52</f>
        <v>0.25</v>
      </c>
      <c r="L52" s="25">
        <f t="shared" si="9"/>
        <v>0.25</v>
      </c>
      <c r="M52" s="25">
        <f t="shared" si="9"/>
        <v>0.25</v>
      </c>
      <c r="N52" s="25">
        <f t="shared" si="9"/>
        <v>0.25</v>
      </c>
    </row>
    <row r="54" spans="2:14" x14ac:dyDescent="0.35">
      <c r="B54" t="s">
        <v>42</v>
      </c>
      <c r="I54" s="23">
        <f>I48-I51</f>
        <v>600</v>
      </c>
      <c r="J54" s="23">
        <f t="shared" ref="J54:N54" si="10">J48-J51</f>
        <v>660</v>
      </c>
      <c r="K54" s="23">
        <f t="shared" si="10"/>
        <v>726</v>
      </c>
      <c r="L54" s="23">
        <f t="shared" si="10"/>
        <v>798.59999999999991</v>
      </c>
      <c r="M54" s="23">
        <f t="shared" si="10"/>
        <v>878.46000000000015</v>
      </c>
      <c r="N54" s="23">
        <f t="shared" si="10"/>
        <v>966.30600000000004</v>
      </c>
    </row>
    <row r="55" spans="2:14" x14ac:dyDescent="0.35">
      <c r="B55" s="21" t="s">
        <v>40</v>
      </c>
      <c r="I55" s="27">
        <f>I54/I42</f>
        <v>0.3</v>
      </c>
      <c r="J55" s="27">
        <f t="shared" ref="J55:N55" si="11">J54/J42</f>
        <v>0.3</v>
      </c>
      <c r="K55" s="27">
        <f t="shared" si="11"/>
        <v>0.3</v>
      </c>
      <c r="L55" s="27">
        <f t="shared" si="11"/>
        <v>0.3</v>
      </c>
      <c r="M55" s="27">
        <f t="shared" si="11"/>
        <v>0.30000000000000004</v>
      </c>
      <c r="N55" s="27">
        <f t="shared" si="11"/>
        <v>0.3</v>
      </c>
    </row>
    <row r="57" spans="2:14" x14ac:dyDescent="0.35">
      <c r="B57" t="s">
        <v>13</v>
      </c>
      <c r="I57">
        <f>D18</f>
        <v>100</v>
      </c>
      <c r="J57" s="23">
        <f>J58*J42</f>
        <v>110</v>
      </c>
      <c r="K57" s="23">
        <f t="shared" ref="K57:N57" si="12">K58*K42</f>
        <v>121</v>
      </c>
      <c r="L57" s="23">
        <f t="shared" si="12"/>
        <v>133.1</v>
      </c>
      <c r="M57" s="23">
        <f t="shared" si="12"/>
        <v>146.41000000000003</v>
      </c>
      <c r="N57" s="23">
        <f t="shared" si="12"/>
        <v>161.05100000000004</v>
      </c>
    </row>
    <row r="58" spans="2:14" x14ac:dyDescent="0.35">
      <c r="B58" s="21" t="s">
        <v>40</v>
      </c>
      <c r="I58" s="27">
        <f>I57/I42</f>
        <v>0.05</v>
      </c>
      <c r="J58" s="25">
        <f>I58</f>
        <v>0.05</v>
      </c>
      <c r="K58" s="25">
        <f>J58</f>
        <v>0.05</v>
      </c>
      <c r="L58" s="25">
        <f t="shared" ref="L58:N58" si="13">K58</f>
        <v>0.05</v>
      </c>
      <c r="M58" s="25">
        <f t="shared" si="13"/>
        <v>0.05</v>
      </c>
      <c r="N58" s="25">
        <f t="shared" si="13"/>
        <v>0.05</v>
      </c>
    </row>
    <row r="60" spans="2:14" x14ac:dyDescent="0.35">
      <c r="B60" t="s">
        <v>43</v>
      </c>
      <c r="I60" s="23">
        <f>I54+I57</f>
        <v>700</v>
      </c>
      <c r="J60" s="23">
        <f t="shared" ref="J60:N60" si="14">J54+J57</f>
        <v>770</v>
      </c>
      <c r="K60" s="23">
        <f t="shared" si="14"/>
        <v>847</v>
      </c>
      <c r="L60" s="23">
        <f t="shared" si="14"/>
        <v>931.69999999999993</v>
      </c>
      <c r="M60" s="23">
        <f t="shared" si="14"/>
        <v>1024.8700000000001</v>
      </c>
      <c r="N60" s="23">
        <f t="shared" si="14"/>
        <v>1127.357</v>
      </c>
    </row>
    <row r="61" spans="2:14" x14ac:dyDescent="0.35">
      <c r="B61" s="21" t="s">
        <v>40</v>
      </c>
      <c r="I61" s="27">
        <f>I60/I42</f>
        <v>0.35</v>
      </c>
      <c r="J61" s="27">
        <f t="shared" ref="J61:N61" si="15">J60/J42</f>
        <v>0.35</v>
      </c>
      <c r="K61" s="27">
        <f t="shared" si="15"/>
        <v>0.35</v>
      </c>
      <c r="L61" s="27">
        <f t="shared" si="15"/>
        <v>0.35</v>
      </c>
      <c r="M61" s="27">
        <f t="shared" si="15"/>
        <v>0.35000000000000003</v>
      </c>
      <c r="N61" s="27">
        <f t="shared" si="15"/>
        <v>0.34999999999999992</v>
      </c>
    </row>
    <row r="63" spans="2:14" x14ac:dyDescent="0.35">
      <c r="B63" t="s">
        <v>30</v>
      </c>
      <c r="J63" s="49">
        <f>J115</f>
        <v>440</v>
      </c>
      <c r="K63" s="49">
        <f t="shared" ref="K63:N63" si="16">K115</f>
        <v>381.76499999999999</v>
      </c>
      <c r="L63" s="49">
        <f t="shared" si="16"/>
        <v>366.64907625000001</v>
      </c>
      <c r="M63" s="49">
        <f t="shared" si="16"/>
        <v>346.86398401781247</v>
      </c>
      <c r="N63" s="49">
        <f t="shared" si="16"/>
        <v>321.75572007086782</v>
      </c>
    </row>
    <row r="65" spans="2:14" x14ac:dyDescent="0.35">
      <c r="B65" t="s">
        <v>44</v>
      </c>
      <c r="J65" s="23">
        <f>J54-J63</f>
        <v>220</v>
      </c>
      <c r="K65" s="23">
        <f t="shared" ref="K65:N65" si="17">K54-K63</f>
        <v>344.23500000000001</v>
      </c>
      <c r="L65" s="23">
        <f t="shared" si="17"/>
        <v>431.9509237499999</v>
      </c>
      <c r="M65" s="23">
        <f t="shared" si="17"/>
        <v>531.59601598218774</v>
      </c>
      <c r="N65" s="23">
        <f t="shared" si="17"/>
        <v>644.55027992913222</v>
      </c>
    </row>
    <row r="66" spans="2:14" x14ac:dyDescent="0.35">
      <c r="B66" s="21" t="s">
        <v>40</v>
      </c>
      <c r="J66" s="3">
        <f>J65/J42</f>
        <v>0.1</v>
      </c>
      <c r="K66" s="3">
        <f t="shared" ref="K66:N66" si="18">K65/K42</f>
        <v>0.14224586776859505</v>
      </c>
      <c r="L66" s="3">
        <f t="shared" si="18"/>
        <v>0.16226556113824189</v>
      </c>
      <c r="M66" s="3">
        <f t="shared" si="18"/>
        <v>0.18154361586714968</v>
      </c>
      <c r="N66" s="3">
        <f t="shared" si="18"/>
        <v>0.20010750629587279</v>
      </c>
    </row>
    <row r="68" spans="2:14" x14ac:dyDescent="0.35">
      <c r="B68" t="s">
        <v>45</v>
      </c>
      <c r="J68" s="23">
        <f>J69*J65</f>
        <v>46.199999999999996</v>
      </c>
      <c r="K68" s="23">
        <f t="shared" ref="K68:N68" si="19">K69*K65</f>
        <v>72.289349999999999</v>
      </c>
      <c r="L68" s="23">
        <f t="shared" si="19"/>
        <v>90.709693987499975</v>
      </c>
      <c r="M68" s="23">
        <f t="shared" si="19"/>
        <v>111.63516335625943</v>
      </c>
      <c r="N68" s="23">
        <f t="shared" si="19"/>
        <v>135.35555878511775</v>
      </c>
    </row>
    <row r="69" spans="2:14" x14ac:dyDescent="0.35">
      <c r="B69" s="21" t="s">
        <v>46</v>
      </c>
      <c r="J69" s="3">
        <f>D24</f>
        <v>0.21</v>
      </c>
      <c r="K69" s="25">
        <f>J69</f>
        <v>0.21</v>
      </c>
      <c r="L69" s="25">
        <f t="shared" ref="L69:N69" si="20">K69</f>
        <v>0.21</v>
      </c>
      <c r="M69" s="25">
        <f t="shared" si="20"/>
        <v>0.21</v>
      </c>
      <c r="N69" s="25">
        <f t="shared" si="20"/>
        <v>0.21</v>
      </c>
    </row>
    <row r="71" spans="2:14" x14ac:dyDescent="0.35">
      <c r="B71" t="s">
        <v>47</v>
      </c>
      <c r="J71" s="23">
        <f>J65-J68</f>
        <v>173.8</v>
      </c>
      <c r="K71" s="23">
        <f t="shared" ref="K71:N71" si="21">K65-K68</f>
        <v>271.94565</v>
      </c>
      <c r="L71" s="23">
        <f t="shared" si="21"/>
        <v>341.24122976249993</v>
      </c>
      <c r="M71" s="23">
        <f t="shared" si="21"/>
        <v>419.96085262592828</v>
      </c>
      <c r="N71" s="23">
        <f t="shared" si="21"/>
        <v>509.19472114401447</v>
      </c>
    </row>
    <row r="72" spans="2:14" x14ac:dyDescent="0.35">
      <c r="B72" s="21" t="s">
        <v>40</v>
      </c>
      <c r="J72" s="3">
        <f>J71/J42</f>
        <v>7.9000000000000001E-2</v>
      </c>
      <c r="K72" s="3">
        <f t="shared" ref="K72:N72" si="22">K71/K42</f>
        <v>0.11237423553719009</v>
      </c>
      <c r="L72" s="3">
        <f t="shared" si="22"/>
        <v>0.1281897932992111</v>
      </c>
      <c r="M72" s="3">
        <f t="shared" si="22"/>
        <v>0.14341945653504823</v>
      </c>
      <c r="N72" s="3">
        <f t="shared" si="22"/>
        <v>0.15808492997373949</v>
      </c>
    </row>
    <row r="74" spans="2:14" x14ac:dyDescent="0.35">
      <c r="B74" s="5" t="s">
        <v>64</v>
      </c>
      <c r="C74" s="5"/>
      <c r="D74" s="5"/>
      <c r="E74" s="5"/>
      <c r="F74" s="5"/>
      <c r="G74" s="5"/>
      <c r="H74" s="5"/>
      <c r="I74" s="22" t="s">
        <v>48</v>
      </c>
      <c r="J74" s="22" t="s">
        <v>49</v>
      </c>
      <c r="K74" s="22" t="s">
        <v>50</v>
      </c>
      <c r="L74" s="22" t="s">
        <v>51</v>
      </c>
      <c r="M74" s="22" t="s">
        <v>52</v>
      </c>
      <c r="N74" s="22" t="s">
        <v>53</v>
      </c>
    </row>
    <row r="75" spans="2:14" x14ac:dyDescent="0.35">
      <c r="B75" t="s">
        <v>13</v>
      </c>
      <c r="I75" s="28">
        <f>I57</f>
        <v>100</v>
      </c>
      <c r="J75" s="24">
        <f t="shared" ref="J75:N75" si="23">J57</f>
        <v>110</v>
      </c>
      <c r="K75" s="24">
        <f t="shared" si="23"/>
        <v>121</v>
      </c>
      <c r="L75" s="24">
        <f t="shared" si="23"/>
        <v>133.1</v>
      </c>
      <c r="M75" s="24">
        <f t="shared" si="23"/>
        <v>146.41000000000003</v>
      </c>
      <c r="N75" s="24">
        <f t="shared" si="23"/>
        <v>161.05100000000004</v>
      </c>
    </row>
    <row r="76" spans="2:14" x14ac:dyDescent="0.35">
      <c r="B76" s="21" t="s">
        <v>40</v>
      </c>
      <c r="I76" s="25">
        <f>I58</f>
        <v>0.05</v>
      </c>
      <c r="J76" s="25">
        <f t="shared" ref="J76:N76" si="24">J58</f>
        <v>0.05</v>
      </c>
      <c r="K76" s="25">
        <f t="shared" si="24"/>
        <v>0.05</v>
      </c>
      <c r="L76" s="25">
        <f t="shared" si="24"/>
        <v>0.05</v>
      </c>
      <c r="M76" s="25">
        <f t="shared" si="24"/>
        <v>0.05</v>
      </c>
      <c r="N76" s="25">
        <f t="shared" si="24"/>
        <v>0.05</v>
      </c>
    </row>
    <row r="78" spans="2:14" x14ac:dyDescent="0.35">
      <c r="B78" t="s">
        <v>65</v>
      </c>
      <c r="I78">
        <f>D19</f>
        <v>200</v>
      </c>
      <c r="J78" s="23">
        <f>J79*J42</f>
        <v>220</v>
      </c>
      <c r="K78" s="23">
        <f t="shared" ref="K78:N78" si="25">K79*K42</f>
        <v>242</v>
      </c>
      <c r="L78" s="23">
        <f t="shared" si="25"/>
        <v>266.2</v>
      </c>
      <c r="M78" s="23">
        <f t="shared" si="25"/>
        <v>292.82000000000005</v>
      </c>
      <c r="N78" s="23">
        <f t="shared" si="25"/>
        <v>322.10200000000009</v>
      </c>
    </row>
    <row r="79" spans="2:14" x14ac:dyDescent="0.35">
      <c r="B79" s="21" t="s">
        <v>40</v>
      </c>
      <c r="I79" s="27">
        <f>I78/I42</f>
        <v>0.1</v>
      </c>
      <c r="J79" s="25">
        <f>I79</f>
        <v>0.1</v>
      </c>
      <c r="K79" s="25">
        <f t="shared" ref="K79:N79" si="26">J79</f>
        <v>0.1</v>
      </c>
      <c r="L79" s="25">
        <f t="shared" si="26"/>
        <v>0.1</v>
      </c>
      <c r="M79" s="25">
        <f t="shared" si="26"/>
        <v>0.1</v>
      </c>
      <c r="N79" s="25">
        <f t="shared" si="26"/>
        <v>0.1</v>
      </c>
    </row>
    <row r="80" spans="2:14" x14ac:dyDescent="0.35">
      <c r="B80" t="s">
        <v>66</v>
      </c>
      <c r="J80" s="23">
        <f>J78-I78</f>
        <v>20</v>
      </c>
      <c r="K80" s="23">
        <f t="shared" ref="K80:N80" si="27">K78-J78</f>
        <v>22</v>
      </c>
      <c r="L80" s="23">
        <f t="shared" si="27"/>
        <v>24.199999999999989</v>
      </c>
      <c r="M80" s="23">
        <f t="shared" si="27"/>
        <v>26.620000000000061</v>
      </c>
      <c r="N80" s="23">
        <f t="shared" si="27"/>
        <v>29.282000000000039</v>
      </c>
    </row>
    <row r="82" spans="2:14" x14ac:dyDescent="0.35">
      <c r="B82" t="s">
        <v>15</v>
      </c>
      <c r="I82">
        <f>D20</f>
        <v>140</v>
      </c>
      <c r="J82" s="23">
        <f>J83*J42</f>
        <v>154.00000000000003</v>
      </c>
      <c r="K82" s="23">
        <f t="shared" ref="K82:N82" si="28">K83*K42</f>
        <v>169.4</v>
      </c>
      <c r="L82" s="23">
        <f t="shared" si="28"/>
        <v>186.34000000000003</v>
      </c>
      <c r="M82" s="23">
        <f t="shared" si="28"/>
        <v>204.97400000000005</v>
      </c>
      <c r="N82" s="23">
        <f t="shared" si="28"/>
        <v>225.47140000000005</v>
      </c>
    </row>
    <row r="83" spans="2:14" x14ac:dyDescent="0.35">
      <c r="I83" s="27">
        <f>I82/I42</f>
        <v>7.0000000000000007E-2</v>
      </c>
      <c r="J83" s="25">
        <f>I83</f>
        <v>7.0000000000000007E-2</v>
      </c>
      <c r="K83" s="25">
        <f t="shared" ref="K83:N83" si="29">J83</f>
        <v>7.0000000000000007E-2</v>
      </c>
      <c r="L83" s="25">
        <f t="shared" si="29"/>
        <v>7.0000000000000007E-2</v>
      </c>
      <c r="M83" s="25">
        <f t="shared" si="29"/>
        <v>7.0000000000000007E-2</v>
      </c>
      <c r="N83" s="25">
        <f t="shared" si="29"/>
        <v>7.0000000000000007E-2</v>
      </c>
    </row>
    <row r="85" spans="2:14" x14ac:dyDescent="0.35">
      <c r="B85" s="5" t="s">
        <v>67</v>
      </c>
      <c r="C85" s="5"/>
      <c r="D85" s="5"/>
      <c r="E85" s="5"/>
      <c r="F85" s="5"/>
      <c r="G85" s="5"/>
      <c r="H85" s="5"/>
      <c r="I85" s="22" t="s">
        <v>48</v>
      </c>
      <c r="J85" s="22" t="s">
        <v>49</v>
      </c>
      <c r="K85" s="22" t="s">
        <v>50</v>
      </c>
      <c r="L85" s="22" t="s">
        <v>51</v>
      </c>
      <c r="M85" s="22" t="s">
        <v>52</v>
      </c>
      <c r="N85" s="22" t="s">
        <v>53</v>
      </c>
    </row>
    <row r="86" spans="2:14" x14ac:dyDescent="0.35">
      <c r="B86" t="s">
        <v>47</v>
      </c>
      <c r="J86" s="24">
        <f>J71</f>
        <v>173.8</v>
      </c>
      <c r="K86" s="24">
        <f t="shared" ref="K86:N86" si="30">K71</f>
        <v>271.94565</v>
      </c>
      <c r="L86" s="24">
        <f t="shared" si="30"/>
        <v>341.24122976249993</v>
      </c>
      <c r="M86" s="24">
        <f t="shared" si="30"/>
        <v>419.96085262592828</v>
      </c>
      <c r="N86" s="24">
        <f t="shared" si="30"/>
        <v>509.19472114401447</v>
      </c>
    </row>
    <row r="87" spans="2:14" x14ac:dyDescent="0.35">
      <c r="B87" t="s">
        <v>13</v>
      </c>
      <c r="J87" s="24">
        <f>J75</f>
        <v>110</v>
      </c>
      <c r="K87" s="24">
        <f t="shared" ref="K87:N87" si="31">K75</f>
        <v>121</v>
      </c>
      <c r="L87" s="24">
        <f t="shared" si="31"/>
        <v>133.1</v>
      </c>
      <c r="M87" s="24">
        <f t="shared" si="31"/>
        <v>146.41000000000003</v>
      </c>
      <c r="N87" s="24">
        <f t="shared" si="31"/>
        <v>161.05100000000004</v>
      </c>
    </row>
    <row r="88" spans="2:14" x14ac:dyDescent="0.35">
      <c r="B88" t="s">
        <v>15</v>
      </c>
      <c r="J88" s="24">
        <f>J82</f>
        <v>154.00000000000003</v>
      </c>
      <c r="K88" s="24">
        <f t="shared" ref="K88:N88" si="32">K82</f>
        <v>169.4</v>
      </c>
      <c r="L88" s="24">
        <f t="shared" si="32"/>
        <v>186.34000000000003</v>
      </c>
      <c r="M88" s="24">
        <f t="shared" si="32"/>
        <v>204.97400000000005</v>
      </c>
      <c r="N88" s="24">
        <f t="shared" si="32"/>
        <v>225.47140000000005</v>
      </c>
    </row>
    <row r="89" spans="2:14" x14ac:dyDescent="0.35">
      <c r="B89" t="s">
        <v>68</v>
      </c>
      <c r="J89" s="24">
        <f>J80</f>
        <v>20</v>
      </c>
      <c r="K89" s="24">
        <f t="shared" ref="K89:N89" si="33">K80</f>
        <v>22</v>
      </c>
      <c r="L89" s="24">
        <f t="shared" si="33"/>
        <v>24.199999999999989</v>
      </c>
      <c r="M89" s="24">
        <f t="shared" si="33"/>
        <v>26.620000000000061</v>
      </c>
      <c r="N89" s="24">
        <f t="shared" si="33"/>
        <v>29.282000000000039</v>
      </c>
    </row>
    <row r="90" spans="2:14" x14ac:dyDescent="0.35">
      <c r="B90" s="38" t="s">
        <v>67</v>
      </c>
      <c r="C90" s="39"/>
      <c r="D90" s="39"/>
      <c r="E90" s="39"/>
      <c r="F90" s="39"/>
      <c r="G90" s="39"/>
      <c r="H90" s="39"/>
      <c r="I90" s="39"/>
      <c r="J90" s="40">
        <f>J86+J87-J88-J89</f>
        <v>109.79999999999998</v>
      </c>
      <c r="K90" s="40">
        <f t="shared" ref="K90:N90" si="34">K86+K87-K88-K89</f>
        <v>201.54564999999999</v>
      </c>
      <c r="L90" s="40">
        <f t="shared" si="34"/>
        <v>263.80122976249987</v>
      </c>
      <c r="M90" s="40">
        <f t="shared" si="34"/>
        <v>334.77685262592826</v>
      </c>
      <c r="N90" s="41">
        <f t="shared" si="34"/>
        <v>415.49232114401445</v>
      </c>
    </row>
    <row r="92" spans="2:14" x14ac:dyDescent="0.35">
      <c r="B92" s="19" t="s">
        <v>69</v>
      </c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</row>
    <row r="93" spans="2:14" ht="6" customHeight="1" x14ac:dyDescent="0.35"/>
    <row r="94" spans="2:14" x14ac:dyDescent="0.35">
      <c r="B94" s="5"/>
      <c r="C94" s="5"/>
      <c r="D94" s="5"/>
      <c r="E94" s="5"/>
      <c r="F94" s="5"/>
      <c r="G94" s="5"/>
      <c r="H94" s="5"/>
      <c r="I94" s="22" t="s">
        <v>48</v>
      </c>
      <c r="J94" s="22" t="s">
        <v>49</v>
      </c>
      <c r="K94" s="22" t="s">
        <v>50</v>
      </c>
      <c r="L94" s="22" t="s">
        <v>51</v>
      </c>
      <c r="M94" s="22" t="s">
        <v>52</v>
      </c>
      <c r="N94" s="22" t="s">
        <v>53</v>
      </c>
    </row>
    <row r="95" spans="2:14" x14ac:dyDescent="0.35">
      <c r="B95" s="4" t="s">
        <v>31</v>
      </c>
    </row>
    <row r="96" spans="2:14" x14ac:dyDescent="0.35">
      <c r="B96" s="42" t="s">
        <v>70</v>
      </c>
      <c r="J96" s="28">
        <f>I99</f>
        <v>200</v>
      </c>
      <c r="K96" s="28">
        <f t="shared" ref="K96:N96" si="35">J99</f>
        <v>90.200000000000017</v>
      </c>
      <c r="L96" s="28">
        <f t="shared" si="35"/>
        <v>0</v>
      </c>
      <c r="M96" s="28">
        <f t="shared" si="35"/>
        <v>0</v>
      </c>
      <c r="N96" s="28">
        <f t="shared" si="35"/>
        <v>0</v>
      </c>
    </row>
    <row r="97" spans="2:14" x14ac:dyDescent="0.35">
      <c r="B97" s="42" t="s">
        <v>30</v>
      </c>
      <c r="J97">
        <f>J96*$N$14</f>
        <v>15</v>
      </c>
      <c r="K97">
        <f t="shared" ref="K97:N97" si="36">K96*$N$14</f>
        <v>6.7650000000000015</v>
      </c>
      <c r="L97">
        <f t="shared" si="36"/>
        <v>0</v>
      </c>
      <c r="M97">
        <f t="shared" si="36"/>
        <v>0</v>
      </c>
      <c r="N97">
        <f t="shared" si="36"/>
        <v>0</v>
      </c>
    </row>
    <row r="98" spans="2:14" x14ac:dyDescent="0.35">
      <c r="B98" s="42" t="s">
        <v>71</v>
      </c>
      <c r="J98" s="23">
        <f>MIN(J90,J96)</f>
        <v>109.79999999999998</v>
      </c>
      <c r="K98" s="23">
        <f t="shared" ref="K98:N98" si="37">MIN(K90,K96)</f>
        <v>90.200000000000017</v>
      </c>
      <c r="L98" s="23">
        <f t="shared" si="37"/>
        <v>0</v>
      </c>
      <c r="M98" s="23">
        <f t="shared" si="37"/>
        <v>0</v>
      </c>
      <c r="N98" s="23">
        <f t="shared" si="37"/>
        <v>0</v>
      </c>
    </row>
    <row r="99" spans="2:14" x14ac:dyDescent="0.35">
      <c r="B99" s="46" t="s">
        <v>72</v>
      </c>
      <c r="C99" s="13"/>
      <c r="D99" s="13"/>
      <c r="E99" s="13"/>
      <c r="F99" s="13"/>
      <c r="G99" s="13"/>
      <c r="H99" s="13"/>
      <c r="I99" s="48">
        <f>D30</f>
        <v>200</v>
      </c>
      <c r="J99" s="47">
        <f>J96-J98</f>
        <v>90.200000000000017</v>
      </c>
      <c r="K99" s="47">
        <f t="shared" ref="K99:N99" si="38">K96-K98</f>
        <v>0</v>
      </c>
      <c r="L99" s="47">
        <f t="shared" si="38"/>
        <v>0</v>
      </c>
      <c r="M99" s="47">
        <f t="shared" si="38"/>
        <v>0</v>
      </c>
      <c r="N99" s="47">
        <f t="shared" si="38"/>
        <v>0</v>
      </c>
    </row>
    <row r="101" spans="2:14" x14ac:dyDescent="0.35">
      <c r="B101" s="4" t="s">
        <v>73</v>
      </c>
    </row>
    <row r="102" spans="2:14" x14ac:dyDescent="0.35">
      <c r="B102" s="42" t="s">
        <v>70</v>
      </c>
      <c r="J102" s="24">
        <f>M15</f>
        <v>2500</v>
      </c>
      <c r="K102" s="24">
        <f t="shared" ref="K102:N102" si="39">J105</f>
        <v>2500</v>
      </c>
      <c r="L102" s="24">
        <f t="shared" si="39"/>
        <v>2388.6543499999998</v>
      </c>
      <c r="M102" s="24">
        <f t="shared" si="39"/>
        <v>2124.8531202374998</v>
      </c>
      <c r="N102" s="24">
        <f t="shared" si="39"/>
        <v>1790.0762676115714</v>
      </c>
    </row>
    <row r="103" spans="2:14" x14ac:dyDescent="0.35">
      <c r="B103" s="42" t="s">
        <v>30</v>
      </c>
      <c r="J103" s="23">
        <f>J102*$N$15</f>
        <v>237.5</v>
      </c>
      <c r="K103" s="23">
        <f t="shared" ref="K103" si="40">K102*$N$14</f>
        <v>187.5</v>
      </c>
      <c r="L103" s="23">
        <f t="shared" ref="L103" si="41">L102*$N$14</f>
        <v>179.14907624999998</v>
      </c>
      <c r="M103" s="23">
        <f t="shared" ref="M103" si="42">M102*$N$14</f>
        <v>159.36398401781247</v>
      </c>
      <c r="N103" s="23">
        <f t="shared" ref="N103" si="43">N102*$N$14</f>
        <v>134.25572007086785</v>
      </c>
    </row>
    <row r="104" spans="2:14" x14ac:dyDescent="0.35">
      <c r="B104" s="42" t="s">
        <v>71</v>
      </c>
      <c r="J104" s="23">
        <f>MIN(J102,J90-J98)</f>
        <v>0</v>
      </c>
      <c r="K104" s="23">
        <f t="shared" ref="K104:N104" si="44">MIN(K102,K90-K98)</f>
        <v>111.34564999999998</v>
      </c>
      <c r="L104" s="23">
        <f t="shared" si="44"/>
        <v>263.80122976249987</v>
      </c>
      <c r="M104" s="23">
        <f t="shared" si="44"/>
        <v>334.77685262592826</v>
      </c>
      <c r="N104" s="23">
        <f t="shared" si="44"/>
        <v>415.49232114401445</v>
      </c>
    </row>
    <row r="105" spans="2:14" x14ac:dyDescent="0.35">
      <c r="B105" s="46" t="s">
        <v>72</v>
      </c>
      <c r="C105" s="13"/>
      <c r="D105" s="13"/>
      <c r="E105" s="13"/>
      <c r="F105" s="13"/>
      <c r="G105" s="13"/>
      <c r="H105" s="13"/>
      <c r="I105" s="48">
        <f>J102</f>
        <v>2500</v>
      </c>
      <c r="J105" s="47">
        <f>J102-J104</f>
        <v>2500</v>
      </c>
      <c r="K105" s="47">
        <f t="shared" ref="K105" si="45">K102-K104</f>
        <v>2388.6543499999998</v>
      </c>
      <c r="L105" s="47">
        <f t="shared" ref="L105" si="46">L102-L104</f>
        <v>2124.8531202374998</v>
      </c>
      <c r="M105" s="47">
        <f t="shared" ref="M105" si="47">M102-M104</f>
        <v>1790.0762676115714</v>
      </c>
      <c r="N105" s="47">
        <f t="shared" ref="N105" si="48">N102-N104</f>
        <v>1374.5839464675569</v>
      </c>
    </row>
    <row r="107" spans="2:14" x14ac:dyDescent="0.35">
      <c r="B107" s="4" t="s">
        <v>33</v>
      </c>
    </row>
    <row r="108" spans="2:14" x14ac:dyDescent="0.35">
      <c r="B108" s="42" t="s">
        <v>70</v>
      </c>
      <c r="J108" s="28">
        <f>M16</f>
        <v>1500</v>
      </c>
      <c r="K108" s="28">
        <f>J108</f>
        <v>1500</v>
      </c>
      <c r="L108" s="28">
        <f t="shared" ref="L108:N108" si="49">K108</f>
        <v>1500</v>
      </c>
      <c r="M108" s="28">
        <f t="shared" si="49"/>
        <v>1500</v>
      </c>
      <c r="N108" s="28">
        <f t="shared" si="49"/>
        <v>1500</v>
      </c>
    </row>
    <row r="109" spans="2:14" x14ac:dyDescent="0.35">
      <c r="B109" s="42" t="s">
        <v>30</v>
      </c>
      <c r="J109" s="23">
        <f>J108*$N$16</f>
        <v>187.5</v>
      </c>
      <c r="K109" s="23">
        <f t="shared" ref="K109:N109" si="50">K108*$N$16</f>
        <v>187.5</v>
      </c>
      <c r="L109" s="23">
        <f t="shared" si="50"/>
        <v>187.5</v>
      </c>
      <c r="M109" s="23">
        <f t="shared" si="50"/>
        <v>187.5</v>
      </c>
      <c r="N109" s="23">
        <f t="shared" si="50"/>
        <v>187.5</v>
      </c>
    </row>
    <row r="110" spans="2:14" x14ac:dyDescent="0.35">
      <c r="B110" s="42" t="s">
        <v>71</v>
      </c>
      <c r="J110" s="23">
        <f>MIN(J108,J90-J98-J104)</f>
        <v>0</v>
      </c>
      <c r="K110" s="23">
        <f t="shared" ref="K110:N110" si="51">MIN(K108,K90-K98-K104)</f>
        <v>0</v>
      </c>
      <c r="L110" s="23">
        <f t="shared" si="51"/>
        <v>0</v>
      </c>
      <c r="M110" s="23">
        <f t="shared" si="51"/>
        <v>0</v>
      </c>
      <c r="N110" s="23">
        <f t="shared" si="51"/>
        <v>0</v>
      </c>
    </row>
    <row r="111" spans="2:14" x14ac:dyDescent="0.35">
      <c r="B111" s="46" t="s">
        <v>72</v>
      </c>
      <c r="C111" s="13"/>
      <c r="D111" s="13"/>
      <c r="E111" s="13"/>
      <c r="F111" s="13"/>
      <c r="G111" s="13"/>
      <c r="H111" s="13"/>
      <c r="I111" s="48">
        <f>J108</f>
        <v>1500</v>
      </c>
      <c r="J111" s="47">
        <f>J108-J110</f>
        <v>1500</v>
      </c>
      <c r="K111" s="47">
        <f t="shared" ref="K111:N111" si="52">K108-K110</f>
        <v>1500</v>
      </c>
      <c r="L111" s="47">
        <f t="shared" si="52"/>
        <v>1500</v>
      </c>
      <c r="M111" s="47">
        <f t="shared" si="52"/>
        <v>1500</v>
      </c>
      <c r="N111" s="47">
        <f t="shared" si="52"/>
        <v>1500</v>
      </c>
    </row>
    <row r="113" spans="2:14" x14ac:dyDescent="0.35">
      <c r="B113" s="4" t="s">
        <v>74</v>
      </c>
    </row>
    <row r="114" spans="2:14" x14ac:dyDescent="0.35">
      <c r="B114" s="42" t="s">
        <v>70</v>
      </c>
      <c r="J114" s="24">
        <f>J96+J102+J108</f>
        <v>4200</v>
      </c>
      <c r="K114" s="24">
        <f t="shared" ref="K114:N114" si="53">K96+K102+K108</f>
        <v>4090.2</v>
      </c>
      <c r="L114" s="24">
        <f t="shared" si="53"/>
        <v>3888.6543499999998</v>
      </c>
      <c r="M114" s="24">
        <f t="shared" si="53"/>
        <v>3624.8531202374998</v>
      </c>
      <c r="N114" s="24">
        <f t="shared" si="53"/>
        <v>3290.0762676115714</v>
      </c>
    </row>
    <row r="115" spans="2:14" x14ac:dyDescent="0.35">
      <c r="B115" s="42" t="s">
        <v>30</v>
      </c>
      <c r="J115" s="23">
        <f>J97+J103+J109</f>
        <v>440</v>
      </c>
      <c r="K115" s="23">
        <f t="shared" ref="K115:N115" si="54">K97+K103+K109</f>
        <v>381.76499999999999</v>
      </c>
      <c r="L115" s="23">
        <f t="shared" si="54"/>
        <v>366.64907625000001</v>
      </c>
      <c r="M115" s="23">
        <f t="shared" si="54"/>
        <v>346.86398401781247</v>
      </c>
      <c r="N115" s="23">
        <f t="shared" si="54"/>
        <v>321.75572007086782</v>
      </c>
    </row>
    <row r="116" spans="2:14" x14ac:dyDescent="0.35">
      <c r="B116" s="42" t="s">
        <v>71</v>
      </c>
      <c r="J116" s="23">
        <f>J98+J104+J110</f>
        <v>109.79999999999998</v>
      </c>
      <c r="K116" s="23">
        <f t="shared" ref="K116:N116" si="55">K98+K104+K110</f>
        <v>201.54564999999999</v>
      </c>
      <c r="L116" s="23">
        <f t="shared" si="55"/>
        <v>263.80122976249987</v>
      </c>
      <c r="M116" s="23">
        <f t="shared" si="55"/>
        <v>334.77685262592826</v>
      </c>
      <c r="N116" s="23">
        <f t="shared" si="55"/>
        <v>415.49232114401445</v>
      </c>
    </row>
    <row r="117" spans="2:14" x14ac:dyDescent="0.35">
      <c r="B117" s="46" t="s">
        <v>72</v>
      </c>
      <c r="C117" s="13"/>
      <c r="D117" s="13"/>
      <c r="E117" s="13"/>
      <c r="F117" s="13"/>
      <c r="G117" s="13"/>
      <c r="H117" s="13"/>
      <c r="I117" s="48">
        <f>SUM(I99,I105,I111)</f>
        <v>4200</v>
      </c>
      <c r="J117" s="47">
        <f>J114-J116</f>
        <v>4090.2</v>
      </c>
      <c r="K117" s="47">
        <f t="shared" ref="K117:N117" si="56">K114-K116</f>
        <v>3888.6543499999998</v>
      </c>
      <c r="L117" s="47">
        <f t="shared" si="56"/>
        <v>3624.8531202374998</v>
      </c>
      <c r="M117" s="47">
        <f t="shared" si="56"/>
        <v>3290.0762676115714</v>
      </c>
      <c r="N117" s="47">
        <f t="shared" si="56"/>
        <v>2874.5839464675569</v>
      </c>
    </row>
    <row r="119" spans="2:14" x14ac:dyDescent="0.35">
      <c r="B119" s="19" t="s">
        <v>34</v>
      </c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</row>
    <row r="120" spans="2:14" ht="4.5" customHeight="1" x14ac:dyDescent="0.35"/>
    <row r="121" spans="2:14" x14ac:dyDescent="0.35">
      <c r="B121" t="s">
        <v>75</v>
      </c>
      <c r="N121" s="24">
        <f>N60</f>
        <v>1127.357</v>
      </c>
    </row>
    <row r="122" spans="2:14" x14ac:dyDescent="0.35">
      <c r="B122" t="s">
        <v>27</v>
      </c>
      <c r="N122" s="58">
        <f>H23</f>
        <v>10</v>
      </c>
    </row>
    <row r="123" spans="2:14" x14ac:dyDescent="0.35">
      <c r="B123" s="12" t="s">
        <v>22</v>
      </c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26">
        <f>N121*N122</f>
        <v>11273.57</v>
      </c>
    </row>
    <row r="124" spans="2:14" x14ac:dyDescent="0.35">
      <c r="B124" s="51" t="s">
        <v>79</v>
      </c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6">
        <f>N117</f>
        <v>2874.5839464675569</v>
      </c>
    </row>
    <row r="125" spans="2:14" x14ac:dyDescent="0.35">
      <c r="B125" t="s">
        <v>76</v>
      </c>
      <c r="N125" s="23">
        <f>N123-N124</f>
        <v>8398.9860535324424</v>
      </c>
    </row>
    <row r="127" spans="2:14" x14ac:dyDescent="0.35">
      <c r="B127" t="s">
        <v>77</v>
      </c>
      <c r="N127">
        <f>D35</f>
        <v>2900</v>
      </c>
    </row>
    <row r="129" spans="2:14" x14ac:dyDescent="0.35">
      <c r="B129" s="52" t="s">
        <v>78</v>
      </c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4">
        <f>N125/N127</f>
        <v>2.8962020874249803</v>
      </c>
    </row>
    <row r="130" spans="2:14" x14ac:dyDescent="0.35">
      <c r="B130" s="55" t="s">
        <v>34</v>
      </c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7">
        <f>N129^(1/5)-1</f>
        <v>0.23698881425702134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swagata bal</dc:creator>
  <cp:lastModifiedBy>swagata bal</cp:lastModifiedBy>
  <dcterms:created xsi:type="dcterms:W3CDTF">2026-01-28T05:56:10Z</dcterms:created>
  <dcterms:modified xsi:type="dcterms:W3CDTF">2026-01-29T15:31:57Z</dcterms:modified>
</cp:coreProperties>
</file>